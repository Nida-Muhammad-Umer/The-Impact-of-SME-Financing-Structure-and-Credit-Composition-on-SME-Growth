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FYP\New\"/>
    </mc:Choice>
  </mc:AlternateContent>
  <bookViews>
    <workbookView xWindow="-108" yWindow="-108" windowWidth="23256" windowHeight="12576"/>
  </bookViews>
  <sheets>
    <sheet name="Sheet1" sheetId="5" r:id="rId1"/>
    <sheet name="sheet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" i="2"/>
</calcChain>
</file>

<file path=xl/sharedStrings.xml><?xml version="1.0" encoding="utf-8"?>
<sst xmlns="http://schemas.openxmlformats.org/spreadsheetml/2006/main" count="170" uniqueCount="69">
  <si>
    <t>Date</t>
  </si>
  <si>
    <t>Outstanding SME Financing</t>
  </si>
  <si>
    <t>Trading SMEs</t>
  </si>
  <si>
    <t>Manufacturing SMEs</t>
  </si>
  <si>
    <t>Services SMEs</t>
  </si>
  <si>
    <t>No. of SME Borrowers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</si>
  <si>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</si>
  <si>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</si>
  <si>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</si>
  <si>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</si>
  <si>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</si>
  <si>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</si>
  <si>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</si>
  <si>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</si>
  <si>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</si>
  <si>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</si>
  <si>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</si>
  <si>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</si>
  <si>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</si>
  <si>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</si>
  <si>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</si>
  <si>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</si>
  <si>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</si>
  <si>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</si>
  <si>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</si>
  <si>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</si>
  <si>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</si>
  <si>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</si>
  <si>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</si>
  <si>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</si>
  <si>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</si>
  <si>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</si>
  <si>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</si>
  <si>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</si>
  <si>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</si>
  <si>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</si>
  <si>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</si>
  <si>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</si>
  <si>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</si>
  <si>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</si>
  <si>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</si>
  <si>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</si>
  <si>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Column 1</t>
  </si>
  <si>
    <t>Column 2</t>
  </si>
  <si>
    <t>Column 3</t>
  </si>
  <si>
    <t>SME Fin as %age of Domestic Pvt Sector Financing</t>
  </si>
  <si>
    <t>Trade Finance</t>
  </si>
  <si>
    <t>Public Sector Commercial Banks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</si>
  <si>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</si>
  <si>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</si>
  <si>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</si>
  <si>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</si>
  <si>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</si>
  <si>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</si>
  <si>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</si>
  <si>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</si>
  <si>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</si>
  <si>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</si>
  <si>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</si>
  <si>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</si>
  <si>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SME Fin</t>
  </si>
  <si>
    <t>SME Borrowers</t>
  </si>
  <si>
    <t>SME NPLs Ratio</t>
  </si>
  <si>
    <t>Fixed Investment</t>
  </si>
  <si>
    <t>Working Capital</t>
  </si>
  <si>
    <t>Domestic Private Banks</t>
  </si>
  <si>
    <t>Islamic Banks</t>
  </si>
  <si>
    <t>Specialized Banks &amp; others</t>
  </si>
  <si>
    <t>DFIs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</si>
</sst>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left" vertical="top" indent="1" shrinkToFit="1"/>
    </xf>
    <xf numFmtId="0" fontId="4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5" fillId="0" borderId="3" xfId="0" applyFont="1" applyBorder="1" applyAlignment="1">
      <alignment horizontal="center"/>
    </xf>
    <xf numFmtId="10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2" fillId="0" borderId="0" xfId="0" applyFont="1"/>
    <xf numFmtId="0" fontId="2" fillId="0" borderId="2" xfId="0" applyFont="1" applyBorder="1"/>
    <xf numFmtId="43" fontId="4" fillId="2" borderId="1" xfId="1" applyFont="1" applyFill="1" applyBorder="1" applyAlignment="1">
      <alignment horizontal="left" vertical="top" wrapText="1"/>
    </xf>
    <xf numFmtId="43" fontId="3" fillId="0" borderId="1" xfId="1" applyFont="1" applyBorder="1" applyAlignment="1">
      <alignment horizontal="right" vertical="top" shrinkToFit="1"/>
    </xf>
    <xf numFmtId="43" fontId="0" fillId="0" borderId="0" xfId="1" applyFont="1"/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right" vertical="top" shrinkToFit="1"/>
    </xf>
    <xf numFmtId="10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right" vertical="top" indent="1" shrinkToFit="1"/>
    </xf>
    <xf numFmtId="0" fontId="4" fillId="2" borderId="1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topLeftCell="A28" workbookViewId="0">
      <selection sqref="A1:P37"/>
    </sheetView>
  </sheetViews>
  <sheetFormatPr defaultRowHeight="13.8"/>
  <sheetData>
    <row r="1" spans="1:16" ht="69">
      <c r="A1" s="26" t="s">
        <v>0</v>
      </c>
      <c r="B1" s="26" t="s">
        <v>1</v>
      </c>
      <c r="C1" s="26" t="s">
        <v>45</v>
      </c>
      <c r="D1" s="26" t="s">
        <v>62</v>
      </c>
      <c r="E1" s="26" t="s">
        <v>5</v>
      </c>
      <c r="F1" s="26" t="s">
        <v>63</v>
      </c>
      <c r="G1" s="26" t="s">
        <v>64</v>
      </c>
      <c r="H1" s="26" t="s">
        <v>46</v>
      </c>
      <c r="I1" s="26" t="s">
        <v>2</v>
      </c>
      <c r="J1" s="26" t="s">
        <v>3</v>
      </c>
      <c r="K1" s="26" t="s">
        <v>4</v>
      </c>
      <c r="L1" s="26" t="s">
        <v>65</v>
      </c>
      <c r="M1" s="26" t="s">
        <v>47</v>
      </c>
      <c r="N1" s="26" t="s">
        <v>66</v>
      </c>
      <c r="O1" s="26" t="s">
        <v>67</v>
      </c>
      <c r="P1" s="26" t="s">
        <v>68</v>
      </c>
    </row>
    <row r="2" spans="1:16" ht="14.4">
      <c r="A2" s="17" t="s">
        <v>6</v>
      </c>
      <c r="B2" s="18">
        <v>283.58</v>
      </c>
      <c r="C2" s="19">
        <v>7.4099999999999999E-2</v>
      </c>
      <c r="D2" s="19">
        <v>0.28999999999999998</v>
      </c>
      <c r="E2" s="20">
        <v>163604</v>
      </c>
      <c r="F2" s="18">
        <v>68.78</v>
      </c>
      <c r="G2" s="18">
        <v>186.52</v>
      </c>
      <c r="H2" s="18">
        <v>28.28</v>
      </c>
      <c r="I2" s="18">
        <v>107.2</v>
      </c>
      <c r="J2" s="18">
        <v>99.92</v>
      </c>
      <c r="K2" s="18">
        <v>76.47</v>
      </c>
      <c r="L2" s="18">
        <v>181.17</v>
      </c>
      <c r="M2" s="18">
        <v>81.760000000000005</v>
      </c>
      <c r="N2" s="18">
        <v>10.96</v>
      </c>
      <c r="O2" s="18">
        <v>9.1</v>
      </c>
      <c r="P2" s="18">
        <v>0.43</v>
      </c>
    </row>
    <row r="3" spans="1:16" ht="14.4">
      <c r="A3" s="17" t="s">
        <v>7</v>
      </c>
      <c r="B3" s="18">
        <v>297.43</v>
      </c>
      <c r="C3" s="19">
        <v>7.3400000000000007E-2</v>
      </c>
      <c r="D3" s="19">
        <v>0.27329999999999999</v>
      </c>
      <c r="E3" s="20">
        <v>164734</v>
      </c>
      <c r="F3" s="18">
        <v>70.03</v>
      </c>
      <c r="G3" s="18">
        <v>195.11</v>
      </c>
      <c r="H3" s="18">
        <v>32.28</v>
      </c>
      <c r="I3" s="18">
        <v>110.14</v>
      </c>
      <c r="J3" s="18">
        <v>106.82</v>
      </c>
      <c r="K3" s="18">
        <v>80.47</v>
      </c>
      <c r="L3" s="18">
        <v>197.7</v>
      </c>
      <c r="M3" s="18">
        <v>78.88</v>
      </c>
      <c r="N3" s="18">
        <v>11.1</v>
      </c>
      <c r="O3" s="18">
        <v>9.17</v>
      </c>
      <c r="P3" s="18">
        <v>0.42</v>
      </c>
    </row>
    <row r="4" spans="1:16" ht="14.4">
      <c r="A4" s="17" t="s">
        <v>8</v>
      </c>
      <c r="B4" s="18">
        <v>325.07</v>
      </c>
      <c r="C4" s="19">
        <v>8.2500000000000004E-2</v>
      </c>
      <c r="D4" s="19">
        <v>0.25829999999999997</v>
      </c>
      <c r="E4" s="20">
        <v>164648</v>
      </c>
      <c r="F4" s="18">
        <v>75.81</v>
      </c>
      <c r="G4" s="18">
        <v>209.61</v>
      </c>
      <c r="H4" s="18">
        <v>39.65</v>
      </c>
      <c r="I4" s="18">
        <v>113.83</v>
      </c>
      <c r="J4" s="18">
        <v>125.03</v>
      </c>
      <c r="K4" s="18">
        <v>86.22</v>
      </c>
      <c r="L4" s="18">
        <v>222.34</v>
      </c>
      <c r="M4" s="18">
        <v>75.88</v>
      </c>
      <c r="N4" s="18">
        <v>16.73</v>
      </c>
      <c r="O4" s="18">
        <v>9.3699999999999992</v>
      </c>
      <c r="P4" s="18">
        <v>0.59</v>
      </c>
    </row>
    <row r="5" spans="1:16" ht="14.4">
      <c r="A5" s="17" t="s">
        <v>9</v>
      </c>
      <c r="B5" s="18">
        <v>394.65</v>
      </c>
      <c r="C5" s="19">
        <v>9.1999999999999998E-2</v>
      </c>
      <c r="D5" s="19">
        <v>0.20280000000000001</v>
      </c>
      <c r="E5" s="20">
        <v>177595</v>
      </c>
      <c r="F5" s="18">
        <v>88.52</v>
      </c>
      <c r="G5" s="18">
        <v>263.02999999999997</v>
      </c>
      <c r="H5" s="21">
        <v>43.1</v>
      </c>
      <c r="I5" s="18">
        <v>131.63</v>
      </c>
      <c r="J5" s="18">
        <v>173.88</v>
      </c>
      <c r="K5" s="18">
        <v>89.14</v>
      </c>
      <c r="L5" s="18">
        <v>264.37</v>
      </c>
      <c r="M5" s="18">
        <v>98.21</v>
      </c>
      <c r="N5" s="18">
        <v>21.27</v>
      </c>
      <c r="O5" s="18">
        <v>9.76</v>
      </c>
      <c r="P5" s="18">
        <v>0.88</v>
      </c>
    </row>
    <row r="6" spans="1:16" ht="14.4">
      <c r="A6" s="17" t="s">
        <v>10</v>
      </c>
      <c r="B6" s="18">
        <v>367.25</v>
      </c>
      <c r="C6" s="19">
        <v>8.2299999999999998E-2</v>
      </c>
      <c r="D6" s="19">
        <v>0.22109999999999999</v>
      </c>
      <c r="E6" s="20">
        <v>176004</v>
      </c>
      <c r="F6" s="18">
        <v>87.55</v>
      </c>
      <c r="G6" s="18">
        <v>232.94</v>
      </c>
      <c r="H6" s="18">
        <v>46.77</v>
      </c>
      <c r="I6" s="18">
        <v>135.55000000000001</v>
      </c>
      <c r="J6" s="18">
        <v>146.16</v>
      </c>
      <c r="K6" s="18">
        <v>85.53</v>
      </c>
      <c r="L6" s="18">
        <v>247.2</v>
      </c>
      <c r="M6" s="18">
        <v>88.05</v>
      </c>
      <c r="N6" s="18">
        <v>21.29</v>
      </c>
      <c r="O6" s="18">
        <v>9.6</v>
      </c>
      <c r="P6" s="18">
        <v>0.95</v>
      </c>
    </row>
    <row r="7" spans="1:16" ht="14.4">
      <c r="A7" s="17" t="s">
        <v>11</v>
      </c>
      <c r="B7" s="18">
        <v>379.71</v>
      </c>
      <c r="C7" s="19">
        <v>7.9899999999999999E-2</v>
      </c>
      <c r="D7" s="19">
        <v>0.2072</v>
      </c>
      <c r="E7" s="20">
        <v>176847</v>
      </c>
      <c r="F7" s="18">
        <v>91.14</v>
      </c>
      <c r="G7" s="18">
        <v>241.14</v>
      </c>
      <c r="H7" s="18">
        <v>47.42</v>
      </c>
      <c r="I7" s="18">
        <v>139.58000000000001</v>
      </c>
      <c r="J7" s="18">
        <v>150.58000000000001</v>
      </c>
      <c r="K7" s="18">
        <v>89.56</v>
      </c>
      <c r="L7" s="18">
        <v>257.24</v>
      </c>
      <c r="M7" s="18">
        <v>86.11</v>
      </c>
      <c r="N7" s="18">
        <v>25.53</v>
      </c>
      <c r="O7" s="18">
        <v>9.51</v>
      </c>
      <c r="P7" s="18">
        <v>1.1599999999999999</v>
      </c>
    </row>
    <row r="8" spans="1:16" ht="14.4">
      <c r="A8" s="17" t="s">
        <v>12</v>
      </c>
      <c r="B8" s="18">
        <v>368.81</v>
      </c>
      <c r="C8" s="19">
        <v>7.7899999999999997E-2</v>
      </c>
      <c r="D8" s="19">
        <v>0.21079999999999999</v>
      </c>
      <c r="E8" s="23">
        <v>173872</v>
      </c>
      <c r="F8" s="18">
        <v>95.11</v>
      </c>
      <c r="G8" s="18">
        <v>221.32</v>
      </c>
      <c r="H8" s="18">
        <v>52.38</v>
      </c>
      <c r="I8" s="18">
        <v>140.99</v>
      </c>
      <c r="J8" s="18">
        <v>130.79</v>
      </c>
      <c r="K8" s="18">
        <v>97.03</v>
      </c>
      <c r="L8" s="18">
        <v>253.49</v>
      </c>
      <c r="M8" s="18">
        <v>79.88</v>
      </c>
      <c r="N8" s="18">
        <v>24.74</v>
      </c>
      <c r="O8" s="18">
        <v>9.3800000000000008</v>
      </c>
      <c r="P8" s="18">
        <v>1.1599999999999999</v>
      </c>
    </row>
    <row r="9" spans="1:16" ht="14.4">
      <c r="A9" s="17" t="s">
        <v>13</v>
      </c>
      <c r="B9" s="18">
        <v>442.53</v>
      </c>
      <c r="C9" s="19">
        <v>8.7300000000000003E-2</v>
      </c>
      <c r="D9" s="19">
        <v>0.17080000000000001</v>
      </c>
      <c r="E9" s="23">
        <v>163696</v>
      </c>
      <c r="F9" s="18">
        <v>98.59</v>
      </c>
      <c r="G9" s="18">
        <v>303.81</v>
      </c>
      <c r="H9" s="18">
        <v>40.130000000000003</v>
      </c>
      <c r="I9" s="18">
        <v>156.38</v>
      </c>
      <c r="J9" s="18">
        <v>185.73</v>
      </c>
      <c r="K9" s="18">
        <v>100.42</v>
      </c>
      <c r="L9" s="24">
        <v>299.68</v>
      </c>
      <c r="M9" s="24">
        <v>100.31</v>
      </c>
      <c r="N9" s="18">
        <v>31.79</v>
      </c>
      <c r="O9" s="25">
        <v>9.48</v>
      </c>
      <c r="P9" s="18">
        <v>1.1100000000000001</v>
      </c>
    </row>
    <row r="10" spans="1:16" ht="14.4">
      <c r="A10" s="17" t="s">
        <v>14</v>
      </c>
      <c r="B10" s="18">
        <v>408.53</v>
      </c>
      <c r="C10" s="19">
        <v>7.8200000000000006E-2</v>
      </c>
      <c r="D10" s="19">
        <v>0.1827</v>
      </c>
      <c r="E10" s="20">
        <v>170638</v>
      </c>
      <c r="F10" s="18">
        <v>103.65</v>
      </c>
      <c r="G10" s="18">
        <v>264.61</v>
      </c>
      <c r="H10" s="18">
        <v>40.270000000000003</v>
      </c>
      <c r="I10" s="18">
        <v>148.24</v>
      </c>
      <c r="J10" s="18">
        <v>160.63</v>
      </c>
      <c r="K10" s="18">
        <v>99.66</v>
      </c>
      <c r="L10" s="18">
        <v>281.32</v>
      </c>
      <c r="M10" s="18">
        <v>88.91</v>
      </c>
      <c r="N10" s="18">
        <v>27.61</v>
      </c>
      <c r="O10" s="18">
        <v>9.26</v>
      </c>
      <c r="P10" s="18">
        <v>1.27</v>
      </c>
    </row>
    <row r="11" spans="1:16" ht="14.4">
      <c r="A11" s="17" t="s">
        <v>15</v>
      </c>
      <c r="B11" s="18">
        <v>412.1</v>
      </c>
      <c r="C11" s="19">
        <v>6.9199999999999998E-2</v>
      </c>
      <c r="D11" s="19">
        <v>0.18060000000000001</v>
      </c>
      <c r="E11" s="22">
        <v>169462</v>
      </c>
      <c r="F11" s="18">
        <v>107.07</v>
      </c>
      <c r="G11" s="18">
        <v>261.52</v>
      </c>
      <c r="H11" s="18">
        <v>43.51</v>
      </c>
      <c r="I11" s="18">
        <v>150.47999999999999</v>
      </c>
      <c r="J11" s="18">
        <v>154.04</v>
      </c>
      <c r="K11" s="18">
        <v>107.58</v>
      </c>
      <c r="L11" s="18">
        <v>284.45999999999998</v>
      </c>
      <c r="M11" s="18">
        <v>85.3</v>
      </c>
      <c r="N11" s="18">
        <v>31.58</v>
      </c>
      <c r="O11" s="18">
        <v>9.31</v>
      </c>
      <c r="P11" s="18">
        <v>1.3</v>
      </c>
    </row>
    <row r="12" spans="1:16" ht="14.4">
      <c r="A12" s="17" t="s">
        <v>16</v>
      </c>
      <c r="B12" s="18">
        <v>411.44</v>
      </c>
      <c r="C12" s="19">
        <v>7.3400000000000007E-2</v>
      </c>
      <c r="D12" s="19">
        <v>0.18640000000000001</v>
      </c>
      <c r="E12" s="20">
        <v>175688</v>
      </c>
      <c r="F12" s="18">
        <v>111.34</v>
      </c>
      <c r="G12" s="18">
        <v>254.22</v>
      </c>
      <c r="H12" s="18">
        <v>45.88</v>
      </c>
      <c r="I12" s="18">
        <v>142.18</v>
      </c>
      <c r="J12" s="18">
        <v>134.72</v>
      </c>
      <c r="K12" s="18">
        <v>134.54</v>
      </c>
      <c r="L12" s="21">
        <v>282.8</v>
      </c>
      <c r="M12" s="18">
        <v>84.54</v>
      </c>
      <c r="N12" s="18">
        <v>32.64</v>
      </c>
      <c r="O12" s="18">
        <v>9.41</v>
      </c>
      <c r="P12" s="21">
        <v>1.9</v>
      </c>
    </row>
    <row r="13" spans="1:16" ht="14.4">
      <c r="A13" s="17" t="s">
        <v>17</v>
      </c>
      <c r="B13" s="18">
        <v>513.46</v>
      </c>
      <c r="C13" s="19">
        <v>8.4599999999999995E-2</v>
      </c>
      <c r="D13" s="19">
        <v>0.1469</v>
      </c>
      <c r="E13" s="20">
        <v>180704</v>
      </c>
      <c r="F13" s="18">
        <v>123.25</v>
      </c>
      <c r="G13" s="18">
        <v>341.36</v>
      </c>
      <c r="H13" s="18">
        <v>48.85</v>
      </c>
      <c r="I13" s="18">
        <v>160.96</v>
      </c>
      <c r="J13" s="18">
        <v>212.74</v>
      </c>
      <c r="K13" s="18">
        <v>139.76</v>
      </c>
      <c r="L13" s="22">
        <v>343</v>
      </c>
      <c r="M13" s="18">
        <v>113.03</v>
      </c>
      <c r="N13" s="18">
        <v>45.68</v>
      </c>
      <c r="O13" s="18">
        <v>9.41</v>
      </c>
      <c r="P13" s="18">
        <v>2.19</v>
      </c>
    </row>
    <row r="14" spans="1:16" ht="14.4">
      <c r="A14" s="17" t="s">
        <v>18</v>
      </c>
      <c r="B14" s="18">
        <v>470.08</v>
      </c>
      <c r="C14" s="19">
        <v>7.6899999999999996E-2</v>
      </c>
      <c r="D14" s="19">
        <v>0.16569999999999999</v>
      </c>
      <c r="E14" s="20">
        <v>181749</v>
      </c>
      <c r="F14" s="18">
        <v>121.68</v>
      </c>
      <c r="G14" s="18">
        <v>304.10000000000002</v>
      </c>
      <c r="H14" s="18">
        <v>44.3</v>
      </c>
      <c r="I14" s="18">
        <v>151.5</v>
      </c>
      <c r="J14" s="18">
        <v>184.88</v>
      </c>
      <c r="K14" s="18">
        <v>133.69999999999999</v>
      </c>
      <c r="L14" s="18">
        <v>315.12</v>
      </c>
      <c r="M14" s="18">
        <v>99.2</v>
      </c>
      <c r="N14" s="18">
        <v>43.89</v>
      </c>
      <c r="O14" s="18">
        <v>9.2799999999999994</v>
      </c>
      <c r="P14" s="18">
        <v>2.44</v>
      </c>
    </row>
    <row r="15" spans="1:16" ht="14.4">
      <c r="A15" s="17" t="s">
        <v>19</v>
      </c>
      <c r="B15" s="18">
        <v>464.86</v>
      </c>
      <c r="C15" s="19">
        <v>7.4999999999999997E-2</v>
      </c>
      <c r="D15" s="19">
        <v>0.1704</v>
      </c>
      <c r="E15" s="20">
        <v>183606</v>
      </c>
      <c r="F15" s="18">
        <v>118.9</v>
      </c>
      <c r="G15" s="18">
        <v>299.89999999999998</v>
      </c>
      <c r="H15" s="18">
        <v>46.06</v>
      </c>
      <c r="I15" s="18">
        <v>155.02000000000001</v>
      </c>
      <c r="J15" s="18">
        <v>175.13</v>
      </c>
      <c r="K15" s="18">
        <v>134.71</v>
      </c>
      <c r="L15" s="18">
        <v>316.25</v>
      </c>
      <c r="M15" s="18">
        <v>92.35</v>
      </c>
      <c r="N15" s="18">
        <v>44.21</v>
      </c>
      <c r="O15" s="18">
        <v>9.3000000000000007</v>
      </c>
      <c r="P15" s="18">
        <v>2.6</v>
      </c>
    </row>
    <row r="16" spans="1:16" ht="14.4">
      <c r="A16" s="17" t="s">
        <v>20</v>
      </c>
      <c r="B16" s="18">
        <v>422.12</v>
      </c>
      <c r="C16" s="19">
        <v>6.9000000000000006E-2</v>
      </c>
      <c r="D16" s="19">
        <v>0.1895</v>
      </c>
      <c r="E16" s="20">
        <v>182149</v>
      </c>
      <c r="F16" s="18">
        <v>112.04</v>
      </c>
      <c r="G16" s="18">
        <v>257.14</v>
      </c>
      <c r="H16" s="18">
        <v>52.94</v>
      </c>
      <c r="I16" s="18">
        <v>140.57</v>
      </c>
      <c r="J16" s="18">
        <v>146.43</v>
      </c>
      <c r="K16" s="18">
        <v>135.12</v>
      </c>
      <c r="L16" s="21">
        <v>292.89999999999998</v>
      </c>
      <c r="M16" s="18">
        <v>79.34</v>
      </c>
      <c r="N16" s="18">
        <v>38.1</v>
      </c>
      <c r="O16" s="18">
        <v>9.1</v>
      </c>
      <c r="P16" s="18">
        <v>2.57</v>
      </c>
    </row>
    <row r="17" spans="1:16" ht="14.4">
      <c r="A17" s="17" t="s">
        <v>21</v>
      </c>
      <c r="B17" s="21">
        <v>477.2</v>
      </c>
      <c r="C17" s="19">
        <v>7.46E-2</v>
      </c>
      <c r="D17" s="19">
        <v>0.16700000000000001</v>
      </c>
      <c r="E17" s="20">
        <v>185010</v>
      </c>
      <c r="F17" s="18">
        <v>109.08</v>
      </c>
      <c r="G17" s="18">
        <v>325.92</v>
      </c>
      <c r="H17" s="18">
        <v>42.23</v>
      </c>
      <c r="I17" s="18">
        <v>159.47</v>
      </c>
      <c r="J17" s="18">
        <v>197.96</v>
      </c>
      <c r="K17" s="18">
        <v>119.8</v>
      </c>
      <c r="L17" s="18">
        <v>319.64999999999998</v>
      </c>
      <c r="M17" s="18">
        <v>100.62</v>
      </c>
      <c r="N17" s="18">
        <v>45.21</v>
      </c>
      <c r="O17" s="18">
        <v>8.9499999999999993</v>
      </c>
      <c r="P17" s="18">
        <v>2.66</v>
      </c>
    </row>
    <row r="18" spans="1:16" ht="14.4">
      <c r="A18" s="17" t="s">
        <v>22</v>
      </c>
      <c r="B18" s="18">
        <v>420.14</v>
      </c>
      <c r="C18" s="19">
        <v>6.5600000000000006E-2</v>
      </c>
      <c r="D18" s="19">
        <v>0.20100000000000001</v>
      </c>
      <c r="E18" s="20">
        <v>189507</v>
      </c>
      <c r="F18" s="18">
        <v>98.66</v>
      </c>
      <c r="G18" s="18">
        <v>278.51</v>
      </c>
      <c r="H18" s="18">
        <v>42.97</v>
      </c>
      <c r="I18" s="18">
        <v>168.95</v>
      </c>
      <c r="J18" s="18">
        <v>140.09</v>
      </c>
      <c r="K18" s="18">
        <v>111.1</v>
      </c>
      <c r="L18" s="18">
        <v>285.89999999999998</v>
      </c>
      <c r="M18" s="18">
        <v>83.42</v>
      </c>
      <c r="N18" s="18">
        <v>39.36</v>
      </c>
      <c r="O18" s="18">
        <v>8.7100000000000009</v>
      </c>
      <c r="P18" s="18">
        <v>2.59</v>
      </c>
    </row>
    <row r="19" spans="1:16" ht="14.4">
      <c r="A19" s="17" t="s">
        <v>23</v>
      </c>
      <c r="B19" s="18">
        <v>401.13</v>
      </c>
      <c r="C19" s="19">
        <v>6.4199999999999993E-2</v>
      </c>
      <c r="D19" s="19">
        <v>0.2185</v>
      </c>
      <c r="E19" s="20">
        <v>188804</v>
      </c>
      <c r="F19" s="18">
        <v>102.45</v>
      </c>
      <c r="G19" s="18">
        <v>255.68</v>
      </c>
      <c r="H19" s="18">
        <v>43</v>
      </c>
      <c r="I19" s="18">
        <v>138.31</v>
      </c>
      <c r="J19" s="18">
        <v>151.22999999999999</v>
      </c>
      <c r="K19" s="18">
        <v>111.59</v>
      </c>
      <c r="L19" s="18">
        <v>274.85000000000002</v>
      </c>
      <c r="M19" s="18">
        <v>75.34</v>
      </c>
      <c r="N19" s="18">
        <v>39.549999999999997</v>
      </c>
      <c r="O19" s="18">
        <v>8.6300000000000008</v>
      </c>
      <c r="P19" s="18">
        <v>2.6</v>
      </c>
    </row>
    <row r="20" spans="1:16" ht="14.4">
      <c r="A20" s="17" t="s">
        <v>24</v>
      </c>
      <c r="B20" s="18">
        <v>385.97</v>
      </c>
      <c r="C20" s="19">
        <v>6.2100000000000002E-2</v>
      </c>
      <c r="D20" s="19">
        <v>0.22450000000000001</v>
      </c>
      <c r="E20" s="20">
        <v>178827</v>
      </c>
      <c r="F20" s="18">
        <v>104.82</v>
      </c>
      <c r="G20" s="18">
        <v>240.55</v>
      </c>
      <c r="H20" s="18">
        <v>40.6</v>
      </c>
      <c r="I20" s="18">
        <v>135.16999999999999</v>
      </c>
      <c r="J20" s="18">
        <v>137.93</v>
      </c>
      <c r="K20" s="18">
        <v>112.87</v>
      </c>
      <c r="L20" s="18">
        <v>266.12</v>
      </c>
      <c r="M20" s="18">
        <v>71.06</v>
      </c>
      <c r="N20" s="18">
        <v>37.44</v>
      </c>
      <c r="O20" s="18">
        <v>8.52</v>
      </c>
      <c r="P20" s="18">
        <v>2.68</v>
      </c>
    </row>
    <row r="21" spans="1:16" ht="14.4">
      <c r="A21" s="17" t="s">
        <v>25</v>
      </c>
      <c r="B21" s="18">
        <v>481.78</v>
      </c>
      <c r="C21" s="19">
        <v>7.2700000000000001E-2</v>
      </c>
      <c r="D21" s="19">
        <v>0.15620000000000001</v>
      </c>
      <c r="E21" s="20">
        <v>179934</v>
      </c>
      <c r="F21" s="18">
        <v>114.04</v>
      </c>
      <c r="G21" s="18">
        <v>325.45999999999998</v>
      </c>
      <c r="H21" s="18">
        <v>42.28</v>
      </c>
      <c r="I21" s="18">
        <v>160.34</v>
      </c>
      <c r="J21" s="18">
        <v>202.64</v>
      </c>
      <c r="K21" s="18">
        <v>118.8</v>
      </c>
      <c r="L21" s="18">
        <v>324.60000000000002</v>
      </c>
      <c r="M21" s="18">
        <v>105.41</v>
      </c>
      <c r="N21" s="18">
        <v>40.159999999999997</v>
      </c>
      <c r="O21" s="18">
        <v>8.57</v>
      </c>
      <c r="P21" s="18">
        <v>2.89</v>
      </c>
    </row>
    <row r="22" spans="1:16" ht="14.4">
      <c r="A22" s="17" t="s">
        <v>26</v>
      </c>
      <c r="B22" s="18">
        <v>443.77</v>
      </c>
      <c r="C22" s="19">
        <v>6.5699999999999995E-2</v>
      </c>
      <c r="D22" s="19">
        <v>0.18640000000000001</v>
      </c>
      <c r="E22" s="20">
        <v>178000</v>
      </c>
      <c r="F22" s="18">
        <v>113.19</v>
      </c>
      <c r="G22" s="18">
        <v>292.72000000000003</v>
      </c>
      <c r="H22" s="18">
        <v>37.86</v>
      </c>
      <c r="I22" s="18">
        <v>161.25</v>
      </c>
      <c r="J22" s="18">
        <v>174.98</v>
      </c>
      <c r="K22" s="18">
        <v>107.54</v>
      </c>
      <c r="L22" s="18">
        <v>299.60000000000002</v>
      </c>
      <c r="M22" s="18">
        <v>94.08</v>
      </c>
      <c r="N22" s="18">
        <v>38.51</v>
      </c>
      <c r="O22" s="18">
        <v>8.5500000000000007</v>
      </c>
      <c r="P22" s="18">
        <v>2.88</v>
      </c>
    </row>
    <row r="23" spans="1:16" ht="14.4">
      <c r="A23" s="17" t="s">
        <v>27</v>
      </c>
      <c r="B23" s="18">
        <v>437.57</v>
      </c>
      <c r="C23" s="19">
        <v>6.2600000000000003E-2</v>
      </c>
      <c r="D23" s="19">
        <v>0.19109999999999999</v>
      </c>
      <c r="E23" s="20">
        <v>172893</v>
      </c>
      <c r="F23" s="18">
        <v>117.75</v>
      </c>
      <c r="G23" s="18">
        <v>279.98</v>
      </c>
      <c r="H23" s="18">
        <v>39.840000000000003</v>
      </c>
      <c r="I23" s="18">
        <v>163.37</v>
      </c>
      <c r="J23" s="18">
        <v>160.74</v>
      </c>
      <c r="K23" s="18">
        <v>113.46</v>
      </c>
      <c r="L23" s="18">
        <v>298.97000000000003</v>
      </c>
      <c r="M23" s="18">
        <v>90.74</v>
      </c>
      <c r="N23" s="18">
        <v>35.78</v>
      </c>
      <c r="O23" s="18">
        <v>8.66</v>
      </c>
      <c r="P23" s="18">
        <v>3.27</v>
      </c>
    </row>
    <row r="24" spans="1:16" ht="14.4">
      <c r="A24" s="17" t="s">
        <v>28</v>
      </c>
      <c r="B24" s="18">
        <v>437.71</v>
      </c>
      <c r="C24" s="19">
        <v>6.0400000000000002E-2</v>
      </c>
      <c r="D24" s="19">
        <v>0.191</v>
      </c>
      <c r="E24" s="20">
        <v>163629</v>
      </c>
      <c r="F24" s="18">
        <v>118.72</v>
      </c>
      <c r="G24" s="18">
        <v>277.29000000000002</v>
      </c>
      <c r="H24" s="18">
        <v>41.7</v>
      </c>
      <c r="I24" s="18">
        <v>167.66</v>
      </c>
      <c r="J24" s="18">
        <v>156.25</v>
      </c>
      <c r="K24" s="18">
        <v>113.8</v>
      </c>
      <c r="L24" s="18">
        <v>301.45999999999998</v>
      </c>
      <c r="M24" s="18">
        <v>86.91</v>
      </c>
      <c r="N24" s="18">
        <v>37.03</v>
      </c>
      <c r="O24" s="18">
        <v>8.7899999999999991</v>
      </c>
      <c r="P24" s="18">
        <v>3.52</v>
      </c>
    </row>
    <row r="25" spans="1:16" ht="14.4">
      <c r="A25" s="17" t="s">
        <v>29</v>
      </c>
      <c r="B25" s="18">
        <v>524.09</v>
      </c>
      <c r="C25" s="19">
        <v>6.5100000000000005E-2</v>
      </c>
      <c r="D25" s="19">
        <v>0.1585</v>
      </c>
      <c r="E25" s="20">
        <v>164756</v>
      </c>
      <c r="F25" s="18">
        <v>130.44999999999999</v>
      </c>
      <c r="G25" s="18">
        <v>351.61</v>
      </c>
      <c r="H25" s="18">
        <v>42.04</v>
      </c>
      <c r="I25" s="18">
        <v>181.12</v>
      </c>
      <c r="J25" s="18">
        <v>225.57</v>
      </c>
      <c r="K25" s="18">
        <v>117.41</v>
      </c>
      <c r="L25" s="18">
        <v>344.8</v>
      </c>
      <c r="M25" s="18">
        <v>128.37</v>
      </c>
      <c r="N25" s="18">
        <v>38.229999999999997</v>
      </c>
      <c r="O25" s="18">
        <v>8.82</v>
      </c>
      <c r="P25" s="18">
        <v>3.88</v>
      </c>
    </row>
    <row r="26" spans="1:16" ht="14.4">
      <c r="A26" s="17" t="s">
        <v>30</v>
      </c>
      <c r="B26" s="18">
        <v>499.72</v>
      </c>
      <c r="C26" s="19">
        <v>5.8700000000000002E-2</v>
      </c>
      <c r="D26" s="19">
        <v>0.16009999999999999</v>
      </c>
      <c r="E26" s="20">
        <v>169165</v>
      </c>
      <c r="F26" s="18">
        <v>138.1</v>
      </c>
      <c r="G26" s="18">
        <v>319.48</v>
      </c>
      <c r="H26" s="18">
        <v>42.13</v>
      </c>
      <c r="I26" s="18">
        <v>182.1</v>
      </c>
      <c r="J26" s="18">
        <v>196.73</v>
      </c>
      <c r="K26" s="18">
        <v>120.89</v>
      </c>
      <c r="L26" s="18">
        <v>337.05</v>
      </c>
      <c r="M26" s="18">
        <v>114.02</v>
      </c>
      <c r="N26" s="18">
        <v>35.590000000000003</v>
      </c>
      <c r="O26" s="18">
        <v>8.8699999999999992</v>
      </c>
      <c r="P26" s="18">
        <v>4.2</v>
      </c>
    </row>
    <row r="27" spans="1:16" ht="14.4">
      <c r="A27" s="17" t="s">
        <v>31</v>
      </c>
      <c r="B27" s="18">
        <v>484.81</v>
      </c>
      <c r="C27" s="19">
        <v>5.7500000000000002E-2</v>
      </c>
      <c r="D27" s="19">
        <v>0.16520000000000001</v>
      </c>
      <c r="E27" s="20">
        <v>168750</v>
      </c>
      <c r="F27" s="18">
        <v>147.12</v>
      </c>
      <c r="G27" s="18">
        <v>293.85000000000002</v>
      </c>
      <c r="H27" s="18">
        <v>43.84</v>
      </c>
      <c r="I27" s="18">
        <v>189.46</v>
      </c>
      <c r="J27" s="18">
        <v>167.75</v>
      </c>
      <c r="K27" s="18">
        <v>127.59</v>
      </c>
      <c r="L27" s="18">
        <v>332.9</v>
      </c>
      <c r="M27" s="18">
        <v>101.67</v>
      </c>
      <c r="N27" s="18">
        <v>37.08</v>
      </c>
      <c r="O27" s="18">
        <v>8.83</v>
      </c>
      <c r="P27" s="18">
        <v>4.33</v>
      </c>
    </row>
    <row r="28" spans="1:16" ht="14.4">
      <c r="A28" s="17" t="s">
        <v>32</v>
      </c>
      <c r="B28" s="18">
        <v>460.21</v>
      </c>
      <c r="C28" s="19">
        <v>5.3999999999999999E-2</v>
      </c>
      <c r="D28" s="19">
        <v>0.17530000000000001</v>
      </c>
      <c r="E28" s="20">
        <v>160736</v>
      </c>
      <c r="F28" s="18">
        <v>140.94999999999999</v>
      </c>
      <c r="G28" s="18">
        <v>279.12</v>
      </c>
      <c r="H28" s="18">
        <v>40.14</v>
      </c>
      <c r="I28" s="18">
        <v>174.92</v>
      </c>
      <c r="J28" s="18">
        <v>160.88</v>
      </c>
      <c r="K28" s="18">
        <v>124.42</v>
      </c>
      <c r="L28" s="18">
        <v>317.58999999999997</v>
      </c>
      <c r="M28" s="18">
        <v>94.04</v>
      </c>
      <c r="N28" s="18">
        <v>35.520000000000003</v>
      </c>
      <c r="O28" s="18">
        <v>8.58</v>
      </c>
      <c r="P28" s="18">
        <v>4.4800000000000004</v>
      </c>
    </row>
    <row r="29" spans="1:16" ht="14.4">
      <c r="A29" s="17" t="s">
        <v>33</v>
      </c>
      <c r="B29" s="18">
        <v>540.49</v>
      </c>
      <c r="C29" s="19">
        <v>5.7500000000000002E-2</v>
      </c>
      <c r="D29" s="19">
        <v>0.14630000000000001</v>
      </c>
      <c r="E29" s="20">
        <v>157126</v>
      </c>
      <c r="F29" s="18">
        <v>144.5</v>
      </c>
      <c r="G29" s="18">
        <v>356.87</v>
      </c>
      <c r="H29" s="18">
        <v>39.119999999999997</v>
      </c>
      <c r="I29" s="18">
        <v>199.59</v>
      </c>
      <c r="J29" s="18">
        <v>214.77</v>
      </c>
      <c r="K29" s="18">
        <v>126.13</v>
      </c>
      <c r="L29" s="18">
        <v>352.52</v>
      </c>
      <c r="M29" s="18">
        <v>138.85</v>
      </c>
      <c r="N29" s="18">
        <v>36</v>
      </c>
      <c r="O29" s="18">
        <v>8.3699999999999992</v>
      </c>
      <c r="P29" s="18">
        <v>4.75</v>
      </c>
    </row>
    <row r="30" spans="1:16" ht="14.4">
      <c r="A30" s="17" t="s">
        <v>34</v>
      </c>
      <c r="B30" s="18">
        <v>479.05</v>
      </c>
      <c r="C30" s="19">
        <v>5.33E-2</v>
      </c>
      <c r="D30" s="19">
        <v>0.1699</v>
      </c>
      <c r="E30" s="20">
        <v>155380</v>
      </c>
      <c r="F30" s="18">
        <v>145.49</v>
      </c>
      <c r="G30" s="18">
        <v>297.55</v>
      </c>
      <c r="H30" s="18">
        <v>36.01</v>
      </c>
      <c r="I30" s="18">
        <v>190.34</v>
      </c>
      <c r="J30" s="18">
        <v>171.01</v>
      </c>
      <c r="K30" s="18">
        <v>117.71</v>
      </c>
      <c r="L30" s="18">
        <v>313</v>
      </c>
      <c r="M30" s="18">
        <v>116.95</v>
      </c>
      <c r="N30" s="18">
        <v>36.35</v>
      </c>
      <c r="O30" s="18">
        <v>8.2100000000000009</v>
      </c>
      <c r="P30" s="18">
        <v>4.54</v>
      </c>
    </row>
    <row r="31" spans="1:16" ht="14.4">
      <c r="A31" s="17" t="s">
        <v>35</v>
      </c>
      <c r="B31" s="18">
        <v>457.1</v>
      </c>
      <c r="C31" s="19">
        <v>5.2200000000000003E-2</v>
      </c>
      <c r="D31" s="19">
        <v>0.17119999999999999</v>
      </c>
      <c r="E31" s="20">
        <v>154229</v>
      </c>
      <c r="F31" s="18">
        <v>149.97</v>
      </c>
      <c r="G31" s="18">
        <v>275.26</v>
      </c>
      <c r="H31" s="18">
        <v>31.87</v>
      </c>
      <c r="I31" s="18">
        <v>185.72</v>
      </c>
      <c r="J31" s="18">
        <v>151.52000000000001</v>
      </c>
      <c r="K31" s="18">
        <v>119.85</v>
      </c>
      <c r="L31" s="18">
        <v>281.92</v>
      </c>
      <c r="M31" s="18">
        <v>118.52</v>
      </c>
      <c r="N31" s="18">
        <v>43.97</v>
      </c>
      <c r="O31" s="18">
        <v>8.01</v>
      </c>
      <c r="P31" s="18">
        <v>4.6900000000000004</v>
      </c>
    </row>
    <row r="32" spans="1:16" ht="14.4">
      <c r="A32" s="17" t="s">
        <v>36</v>
      </c>
      <c r="B32" s="18">
        <v>438.05</v>
      </c>
      <c r="C32" s="19">
        <v>5.1799999999999999E-2</v>
      </c>
      <c r="D32" s="19">
        <v>0.17660000000000001</v>
      </c>
      <c r="E32" s="20">
        <v>165080</v>
      </c>
      <c r="F32" s="18">
        <v>143.72</v>
      </c>
      <c r="G32" s="18">
        <v>263.79000000000002</v>
      </c>
      <c r="H32" s="18">
        <v>30.54</v>
      </c>
      <c r="I32" s="18">
        <v>184.97</v>
      </c>
      <c r="J32" s="18">
        <v>137.61000000000001</v>
      </c>
      <c r="K32" s="18">
        <v>115.47</v>
      </c>
      <c r="L32" s="18">
        <v>274.79000000000002</v>
      </c>
      <c r="M32" s="18">
        <v>108.74</v>
      </c>
      <c r="N32" s="18">
        <v>42.15</v>
      </c>
      <c r="O32" s="18">
        <v>7.75</v>
      </c>
      <c r="P32" s="18">
        <v>4.62</v>
      </c>
    </row>
    <row r="33" spans="1:16" ht="14.4">
      <c r="A33" s="17" t="s">
        <v>37</v>
      </c>
      <c r="B33" s="18">
        <v>542.53</v>
      </c>
      <c r="C33" s="19">
        <v>6.0400000000000002E-2</v>
      </c>
      <c r="D33" s="19">
        <v>0.14530000000000001</v>
      </c>
      <c r="E33" s="20">
        <v>172292</v>
      </c>
      <c r="F33" s="18">
        <v>168.59</v>
      </c>
      <c r="G33" s="18">
        <v>343.93</v>
      </c>
      <c r="H33" s="18">
        <v>30.01</v>
      </c>
      <c r="I33" s="18">
        <v>215.32</v>
      </c>
      <c r="J33" s="18">
        <v>204.43</v>
      </c>
      <c r="K33" s="18">
        <v>122.78</v>
      </c>
      <c r="L33" s="18">
        <v>323.31</v>
      </c>
      <c r="M33" s="18">
        <v>161.6</v>
      </c>
      <c r="N33" s="18">
        <v>45.14</v>
      </c>
      <c r="O33" s="18">
        <v>7.69</v>
      </c>
      <c r="P33" s="18">
        <v>4.79</v>
      </c>
    </row>
    <row r="34" spans="1:16" ht="14.4">
      <c r="A34" s="17" t="s">
        <v>38</v>
      </c>
      <c r="B34" s="18">
        <v>488.83</v>
      </c>
      <c r="C34" s="19">
        <v>5.5500000000000001E-2</v>
      </c>
      <c r="D34" s="19">
        <v>0.1663</v>
      </c>
      <c r="E34" s="20">
        <v>174880</v>
      </c>
      <c r="F34" s="18">
        <v>178.04</v>
      </c>
      <c r="G34" s="18">
        <v>282.31</v>
      </c>
      <c r="H34" s="18">
        <v>28.48</v>
      </c>
      <c r="I34" s="18">
        <v>206.34</v>
      </c>
      <c r="J34" s="18">
        <v>161.19999999999999</v>
      </c>
      <c r="K34" s="18">
        <v>121.29</v>
      </c>
      <c r="L34" s="18">
        <v>289.68</v>
      </c>
      <c r="M34" s="18">
        <v>140.16999999999999</v>
      </c>
      <c r="N34" s="18">
        <v>46.24</v>
      </c>
      <c r="O34" s="18">
        <v>7.64</v>
      </c>
      <c r="P34" s="18">
        <v>5.1100000000000003</v>
      </c>
    </row>
    <row r="35" spans="1:16" ht="14.4">
      <c r="A35" s="17" t="s">
        <v>39</v>
      </c>
      <c r="B35" s="18">
        <v>490.96</v>
      </c>
      <c r="C35" s="19">
        <v>5.5E-2</v>
      </c>
      <c r="D35" s="19">
        <v>0.1658</v>
      </c>
      <c r="E35" s="20">
        <v>176246</v>
      </c>
      <c r="F35" s="18">
        <v>198.88</v>
      </c>
      <c r="G35" s="18">
        <v>265.27</v>
      </c>
      <c r="H35" s="18">
        <v>26.81</v>
      </c>
      <c r="I35" s="18">
        <v>211.38</v>
      </c>
      <c r="J35" s="18">
        <v>148.41999999999999</v>
      </c>
      <c r="K35" s="18">
        <v>131.16</v>
      </c>
      <c r="L35" s="18">
        <v>290.02</v>
      </c>
      <c r="M35" s="18">
        <v>134.83000000000001</v>
      </c>
      <c r="N35" s="18">
        <v>52.86</v>
      </c>
      <c r="O35" s="18">
        <v>7.55</v>
      </c>
      <c r="P35" s="18">
        <v>5.71</v>
      </c>
    </row>
    <row r="36" spans="1:16" ht="14.4">
      <c r="A36" s="17" t="s">
        <v>40</v>
      </c>
      <c r="B36" s="18">
        <v>478.37</v>
      </c>
      <c r="C36" s="19">
        <v>5.1700000000000003E-2</v>
      </c>
      <c r="D36" s="19">
        <v>0.1736</v>
      </c>
      <c r="E36" s="20">
        <v>177753</v>
      </c>
      <c r="F36" s="18">
        <v>207.22</v>
      </c>
      <c r="G36" s="18">
        <v>248.21</v>
      </c>
      <c r="H36" s="18">
        <v>22.94</v>
      </c>
      <c r="I36" s="18">
        <v>208.2</v>
      </c>
      <c r="J36" s="18">
        <v>140.38999999999999</v>
      </c>
      <c r="K36" s="18">
        <v>129.78</v>
      </c>
      <c r="L36" s="18">
        <v>287.55</v>
      </c>
      <c r="M36" s="18">
        <v>128.51</v>
      </c>
      <c r="N36" s="18">
        <v>48.9</v>
      </c>
      <c r="O36" s="18">
        <v>7.48</v>
      </c>
      <c r="P36" s="18">
        <v>5.94</v>
      </c>
    </row>
    <row r="37" spans="1:16" ht="14.4">
      <c r="A37" s="17" t="s">
        <v>41</v>
      </c>
      <c r="B37" s="18">
        <v>641.35</v>
      </c>
      <c r="C37" s="19">
        <v>6.0600000000000001E-2</v>
      </c>
      <c r="D37" s="19">
        <v>0.1416</v>
      </c>
      <c r="E37" s="20">
        <v>183987</v>
      </c>
      <c r="F37" s="18">
        <v>277.82</v>
      </c>
      <c r="G37" s="18">
        <v>332.77</v>
      </c>
      <c r="H37" s="18">
        <v>30.76</v>
      </c>
      <c r="I37" s="18">
        <v>244.15</v>
      </c>
      <c r="J37" s="18">
        <v>234.64</v>
      </c>
      <c r="K37" s="18">
        <v>162.56</v>
      </c>
      <c r="L37" s="18">
        <v>361.64</v>
      </c>
      <c r="M37" s="18">
        <v>204.36</v>
      </c>
      <c r="N37" s="18">
        <v>61.82</v>
      </c>
      <c r="O37" s="18">
        <v>7.48</v>
      </c>
      <c r="P37" s="18">
        <v>6.05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topLeftCell="A12" workbookViewId="0">
      <selection activeCell="B39" sqref="B39"/>
    </sheetView>
  </sheetViews>
  <sheetFormatPr defaultRowHeight="13.8"/>
  <cols>
    <col min="6" max="6" width="8.8984375" style="16"/>
    <col min="10" max="10" width="9.796875" bestFit="1" customWidth="1"/>
  </cols>
  <sheetData>
    <row r="1" spans="1:25" ht="69">
      <c r="A1" s="7" t="s">
        <v>0</v>
      </c>
      <c r="B1" s="7" t="s">
        <v>1</v>
      </c>
      <c r="C1" s="7" t="s">
        <v>45</v>
      </c>
      <c r="D1" s="7" t="s">
        <v>60</v>
      </c>
      <c r="E1" s="7" t="s">
        <v>5</v>
      </c>
      <c r="F1" s="14" t="s">
        <v>61</v>
      </c>
      <c r="G1" s="7" t="s">
        <v>46</v>
      </c>
      <c r="H1" s="7" t="s">
        <v>47</v>
      </c>
    </row>
    <row r="2" spans="1:25" ht="14.4">
      <c r="A2" s="1" t="s">
        <v>6</v>
      </c>
      <c r="B2" s="2">
        <v>283.58</v>
      </c>
      <c r="C2" s="10">
        <v>7.4099999999999999E-2</v>
      </c>
      <c r="D2" s="2">
        <f>C2*100</f>
        <v>7.41</v>
      </c>
      <c r="E2" s="3">
        <v>163604</v>
      </c>
      <c r="F2" s="15">
        <f>E2/10000</f>
        <v>16.360399999999998</v>
      </c>
      <c r="G2" s="2">
        <v>28.28</v>
      </c>
      <c r="H2" s="2">
        <v>81.760000000000005</v>
      </c>
    </row>
    <row r="3" spans="1:25" ht="14.4">
      <c r="A3" s="1" t="s">
        <v>7</v>
      </c>
      <c r="B3" s="2">
        <v>297.43</v>
      </c>
      <c r="C3" s="10">
        <v>7.3400000000000007E-2</v>
      </c>
      <c r="D3" s="2">
        <f t="shared" ref="D3:D37" si="0">C3*100</f>
        <v>7.3400000000000007</v>
      </c>
      <c r="E3" s="3">
        <v>164734</v>
      </c>
      <c r="F3" s="15">
        <f t="shared" ref="F3:F37" si="1">E3/10000</f>
        <v>16.473400000000002</v>
      </c>
      <c r="G3" s="2">
        <v>32.28</v>
      </c>
      <c r="H3" s="2">
        <v>78.88</v>
      </c>
    </row>
    <row r="4" spans="1:25" ht="14.4">
      <c r="A4" s="1" t="s">
        <v>8</v>
      </c>
      <c r="B4" s="2">
        <v>325.07</v>
      </c>
      <c r="C4" s="10">
        <v>8.2500000000000004E-2</v>
      </c>
      <c r="D4" s="2">
        <f t="shared" si="0"/>
        <v>8.25</v>
      </c>
      <c r="E4" s="3">
        <v>164648</v>
      </c>
      <c r="F4" s="15">
        <f t="shared" si="1"/>
        <v>16.4648</v>
      </c>
      <c r="G4" s="2">
        <v>39.65</v>
      </c>
      <c r="H4" s="2">
        <v>75.88</v>
      </c>
    </row>
    <row r="5" spans="1:25" ht="14.4">
      <c r="A5" s="1" t="s">
        <v>9</v>
      </c>
      <c r="B5" s="2">
        <v>394.65</v>
      </c>
      <c r="C5" s="10">
        <v>9.1999999999999998E-2</v>
      </c>
      <c r="D5" s="2">
        <f t="shared" si="0"/>
        <v>9.1999999999999993</v>
      </c>
      <c r="E5" s="3">
        <v>177595</v>
      </c>
      <c r="F5" s="15">
        <f t="shared" si="1"/>
        <v>17.759499999999999</v>
      </c>
      <c r="G5" s="4">
        <v>43.1</v>
      </c>
      <c r="H5" s="2">
        <v>98.21</v>
      </c>
    </row>
    <row r="6" spans="1:25" ht="14.4">
      <c r="A6" s="1" t="s">
        <v>10</v>
      </c>
      <c r="B6" s="2">
        <v>367.25</v>
      </c>
      <c r="C6" s="10">
        <v>8.2299999999999998E-2</v>
      </c>
      <c r="D6" s="2">
        <f t="shared" si="0"/>
        <v>8.23</v>
      </c>
      <c r="E6" s="3">
        <v>176004</v>
      </c>
      <c r="F6" s="15">
        <f t="shared" si="1"/>
        <v>17.6004</v>
      </c>
      <c r="G6" s="2">
        <v>46.77</v>
      </c>
      <c r="H6" s="2">
        <v>88.05</v>
      </c>
    </row>
    <row r="7" spans="1:25" ht="14.4">
      <c r="A7" s="1" t="s">
        <v>11</v>
      </c>
      <c r="B7" s="2">
        <v>379.71</v>
      </c>
      <c r="C7" s="10">
        <v>7.9899999999999999E-2</v>
      </c>
      <c r="D7" s="2">
        <f t="shared" si="0"/>
        <v>7.99</v>
      </c>
      <c r="E7" s="3">
        <v>176847</v>
      </c>
      <c r="F7" s="15">
        <f t="shared" si="1"/>
        <v>17.684699999999999</v>
      </c>
      <c r="G7" s="2">
        <v>47.42</v>
      </c>
      <c r="H7" s="2">
        <v>86.11</v>
      </c>
    </row>
    <row r="8" spans="1:25" ht="14.4">
      <c r="A8" s="1" t="s">
        <v>12</v>
      </c>
      <c r="B8" s="2">
        <v>368.81</v>
      </c>
      <c r="C8" s="10">
        <v>7.7899999999999997E-2</v>
      </c>
      <c r="D8" s="2">
        <f t="shared" si="0"/>
        <v>7.79</v>
      </c>
      <c r="E8" s="6">
        <v>173872</v>
      </c>
      <c r="F8" s="15">
        <f t="shared" si="1"/>
        <v>17.3872</v>
      </c>
      <c r="G8" s="2">
        <v>52.38</v>
      </c>
      <c r="H8" s="2">
        <v>79.88</v>
      </c>
    </row>
    <row r="9" spans="1:25" ht="14.4">
      <c r="A9" s="1" t="s">
        <v>13</v>
      </c>
      <c r="B9" s="2">
        <v>442.53</v>
      </c>
      <c r="C9" s="10">
        <v>8.7300000000000003E-2</v>
      </c>
      <c r="D9" s="2">
        <f t="shared" si="0"/>
        <v>8.73</v>
      </c>
      <c r="E9" s="6">
        <v>163696</v>
      </c>
      <c r="F9" s="15">
        <f t="shared" si="1"/>
        <v>16.369599999999998</v>
      </c>
      <c r="G9" s="2">
        <v>40.130000000000003</v>
      </c>
      <c r="H9" s="11">
        <v>100.31</v>
      </c>
    </row>
    <row r="10" spans="1:25" ht="15" thickBot="1">
      <c r="A10" s="1" t="s">
        <v>14</v>
      </c>
      <c r="B10" s="2">
        <v>408.53</v>
      </c>
      <c r="C10" s="10">
        <v>7.8200000000000006E-2</v>
      </c>
      <c r="D10" s="2">
        <f t="shared" si="0"/>
        <v>7.82</v>
      </c>
      <c r="E10" s="3">
        <v>170638</v>
      </c>
      <c r="F10" s="15">
        <f t="shared" si="1"/>
        <v>17.063800000000001</v>
      </c>
      <c r="G10" s="2">
        <v>40.270000000000003</v>
      </c>
      <c r="H10" s="2">
        <v>88.91</v>
      </c>
    </row>
    <row r="11" spans="1:25" ht="14.4">
      <c r="A11" s="1" t="s">
        <v>15</v>
      </c>
      <c r="B11" s="2">
        <v>412.1</v>
      </c>
      <c r="C11" s="10">
        <v>6.9199999999999998E-2</v>
      </c>
      <c r="D11" s="2">
        <f t="shared" si="0"/>
        <v>6.92</v>
      </c>
      <c r="E11" s="5">
        <v>169462</v>
      </c>
      <c r="F11" s="15">
        <f t="shared" si="1"/>
        <v>16.946200000000001</v>
      </c>
      <c r="G11" s="2">
        <v>43.51</v>
      </c>
      <c r="H11" s="2">
        <v>85.3</v>
      </c>
      <c r="J11" s="9"/>
      <c r="K11" s="9" t="s">
        <v>42</v>
      </c>
      <c r="L11" s="9" t="s">
        <v>43</v>
      </c>
      <c r="M11" s="9" t="s">
        <v>44</v>
      </c>
      <c r="N11" s="9" t="s">
        <v>48</v>
      </c>
      <c r="O11" s="9" t="s">
        <v>49</v>
      </c>
      <c r="P11" s="9" t="s">
        <v>50</v>
      </c>
      <c r="Q11" s="9" t="s">
        <v>51</v>
      </c>
      <c r="R11" s="9" t="s">
        <v>52</v>
      </c>
      <c r="S11" s="9" t="s">
        <v>53</v>
      </c>
      <c r="T11" s="9" t="s">
        <v>54</v>
      </c>
      <c r="U11" s="9" t="s">
        <v>55</v>
      </c>
      <c r="V11" s="9" t="s">
        <v>56</v>
      </c>
      <c r="W11" s="9" t="s">
        <v>57</v>
      </c>
      <c r="X11" s="9" t="s">
        <v>58</v>
      </c>
      <c r="Y11" s="9" t="s">
        <v>59</v>
      </c>
    </row>
    <row r="12" spans="1:25" ht="14.4">
      <c r="A12" s="1" t="s">
        <v>16</v>
      </c>
      <c r="B12" s="2">
        <v>411.44</v>
      </c>
      <c r="C12" s="10">
        <v>7.3400000000000007E-2</v>
      </c>
      <c r="D12" s="2">
        <f t="shared" si="0"/>
        <v>7.3400000000000007</v>
      </c>
      <c r="E12" s="3">
        <v>175688</v>
      </c>
      <c r="F12" s="15">
        <f t="shared" si="1"/>
        <v>17.5688</v>
      </c>
      <c r="G12" s="2">
        <v>45.88</v>
      </c>
      <c r="H12" s="2">
        <v>84.54</v>
      </c>
      <c r="J12" t="s">
        <v>42</v>
      </c>
      <c r="K12">
        <v>1</v>
      </c>
    </row>
    <row r="13" spans="1:25" ht="14.4">
      <c r="A13" s="1" t="s">
        <v>17</v>
      </c>
      <c r="B13" s="2">
        <v>513.46</v>
      </c>
      <c r="C13" s="10">
        <v>8.4599999999999995E-2</v>
      </c>
      <c r="D13" s="2">
        <f t="shared" si="0"/>
        <v>8.4599999999999991</v>
      </c>
      <c r="E13" s="3">
        <v>180704</v>
      </c>
      <c r="F13" s="15">
        <f t="shared" si="1"/>
        <v>18.070399999999999</v>
      </c>
      <c r="G13" s="2">
        <v>48.85</v>
      </c>
      <c r="H13" s="2">
        <v>113.03</v>
      </c>
      <c r="J13" s="12" t="s">
        <v>43</v>
      </c>
      <c r="K13">
        <v>-0.44768606970527064</v>
      </c>
      <c r="L13">
        <v>1</v>
      </c>
    </row>
    <row r="14" spans="1:25" ht="14.4">
      <c r="A14" s="1" t="s">
        <v>18</v>
      </c>
      <c r="B14" s="2">
        <v>470.08</v>
      </c>
      <c r="C14" s="10">
        <v>7.6899999999999996E-2</v>
      </c>
      <c r="D14" s="2">
        <f t="shared" si="0"/>
        <v>7.6899999999999995</v>
      </c>
      <c r="E14" s="3">
        <v>181749</v>
      </c>
      <c r="F14" s="15">
        <f t="shared" si="1"/>
        <v>18.174900000000001</v>
      </c>
      <c r="G14" s="2">
        <v>44.3</v>
      </c>
      <c r="H14" s="2">
        <v>99.2</v>
      </c>
      <c r="J14" t="s">
        <v>44</v>
      </c>
      <c r="K14">
        <v>-0.92114494518284051</v>
      </c>
      <c r="L14" s="12">
        <v>0.34599273593422292</v>
      </c>
      <c r="M14">
        <v>1</v>
      </c>
    </row>
    <row r="15" spans="1:25" ht="14.4">
      <c r="A15" s="1" t="s">
        <v>19</v>
      </c>
      <c r="B15" s="2">
        <v>464.86</v>
      </c>
      <c r="C15" s="10">
        <v>7.4999999999999997E-2</v>
      </c>
      <c r="D15" s="2">
        <f t="shared" si="0"/>
        <v>7.5</v>
      </c>
      <c r="E15" s="3">
        <v>183606</v>
      </c>
      <c r="F15" s="15">
        <f t="shared" si="1"/>
        <v>18.360600000000002</v>
      </c>
      <c r="G15" s="2">
        <v>46.06</v>
      </c>
      <c r="H15" s="2">
        <v>92.35</v>
      </c>
      <c r="J15" s="12" t="s">
        <v>48</v>
      </c>
      <c r="K15">
        <v>9.0816361361612891E-2</v>
      </c>
      <c r="L15" s="12">
        <v>0.28485773047416213</v>
      </c>
      <c r="M15" s="12">
        <v>-6.8666659790989626E-2</v>
      </c>
      <c r="N15">
        <v>1</v>
      </c>
    </row>
    <row r="16" spans="1:25" ht="14.4">
      <c r="A16" s="1" t="s">
        <v>20</v>
      </c>
      <c r="B16" s="2">
        <v>422.12</v>
      </c>
      <c r="C16" s="10">
        <v>6.9000000000000006E-2</v>
      </c>
      <c r="D16" s="2">
        <f t="shared" si="0"/>
        <v>6.9</v>
      </c>
      <c r="E16" s="3">
        <v>182149</v>
      </c>
      <c r="F16" s="15">
        <f t="shared" si="1"/>
        <v>18.2149</v>
      </c>
      <c r="G16" s="2">
        <v>52.94</v>
      </c>
      <c r="H16" s="2">
        <v>79.34</v>
      </c>
      <c r="J16" t="s">
        <v>49</v>
      </c>
      <c r="K16">
        <v>0.8190723018594428</v>
      </c>
      <c r="L16">
        <v>-0.63986399696970453</v>
      </c>
      <c r="M16">
        <v>-0.66071124261903569</v>
      </c>
      <c r="N16" s="12">
        <v>4.3984268915191777E-2</v>
      </c>
      <c r="O16">
        <v>1</v>
      </c>
    </row>
    <row r="17" spans="1:25" ht="14.4">
      <c r="A17" s="1" t="s">
        <v>21</v>
      </c>
      <c r="B17" s="4">
        <v>477.2</v>
      </c>
      <c r="C17" s="10">
        <v>7.46E-2</v>
      </c>
      <c r="D17" s="2">
        <f t="shared" si="0"/>
        <v>7.46</v>
      </c>
      <c r="E17" s="3">
        <v>185010</v>
      </c>
      <c r="F17" s="15">
        <f t="shared" si="1"/>
        <v>18.501000000000001</v>
      </c>
      <c r="G17" s="2">
        <v>42.23</v>
      </c>
      <c r="H17" s="2">
        <v>100.62</v>
      </c>
      <c r="J17" s="12" t="s">
        <v>50</v>
      </c>
      <c r="K17">
        <v>0.88738957088683523</v>
      </c>
      <c r="L17" s="12">
        <v>-0.21027146049177489</v>
      </c>
      <c r="M17">
        <v>-0.88149506486965856</v>
      </c>
      <c r="N17" s="12">
        <v>5.7647971414517656E-2</v>
      </c>
      <c r="O17" s="12">
        <v>0.47149089592859111</v>
      </c>
      <c r="P17">
        <v>1</v>
      </c>
    </row>
    <row r="18" spans="1:25" ht="14.4">
      <c r="A18" s="1" t="s">
        <v>22</v>
      </c>
      <c r="B18" s="2">
        <v>420.14</v>
      </c>
      <c r="C18" s="10">
        <v>6.5600000000000006E-2</v>
      </c>
      <c r="D18" s="2">
        <f t="shared" si="0"/>
        <v>6.5600000000000005</v>
      </c>
      <c r="E18" s="3">
        <v>189507</v>
      </c>
      <c r="F18" s="15">
        <f t="shared" si="1"/>
        <v>18.950700000000001</v>
      </c>
      <c r="G18" s="2">
        <v>42.97</v>
      </c>
      <c r="H18" s="2">
        <v>83.42</v>
      </c>
      <c r="J18" s="12" t="s">
        <v>51</v>
      </c>
      <c r="K18">
        <v>-0.18118132428467917</v>
      </c>
      <c r="L18">
        <v>0.55295431959755059</v>
      </c>
      <c r="M18" s="12">
        <v>4.3044832698554102E-3</v>
      </c>
      <c r="N18" s="12">
        <v>0.29435904077688679</v>
      </c>
      <c r="O18">
        <v>-0.53950770086400412</v>
      </c>
      <c r="P18" s="12">
        <v>5.7506664555854091E-2</v>
      </c>
      <c r="Q18">
        <v>1</v>
      </c>
    </row>
    <row r="19" spans="1:25" ht="14.4">
      <c r="A19" s="1" t="s">
        <v>23</v>
      </c>
      <c r="B19" s="2">
        <v>401.13</v>
      </c>
      <c r="C19" s="10">
        <v>6.4199999999999993E-2</v>
      </c>
      <c r="D19" s="2">
        <f t="shared" si="0"/>
        <v>6.419999999999999</v>
      </c>
      <c r="E19" s="3">
        <v>188804</v>
      </c>
      <c r="F19" s="15">
        <f t="shared" si="1"/>
        <v>18.880400000000002</v>
      </c>
      <c r="G19" s="2">
        <v>43</v>
      </c>
      <c r="H19" s="2">
        <v>75.34</v>
      </c>
      <c r="J19" t="s">
        <v>52</v>
      </c>
      <c r="K19">
        <v>0.88794719771665231</v>
      </c>
      <c r="L19">
        <v>-0.69486423424809107</v>
      </c>
      <c r="M19">
        <v>-0.79049373435943138</v>
      </c>
      <c r="N19" s="12">
        <v>-6.7666367882964581E-2</v>
      </c>
      <c r="O19">
        <v>0.92538861485991131</v>
      </c>
      <c r="P19">
        <v>0.64912830191494775</v>
      </c>
      <c r="Q19" s="12">
        <v>-0.48400129551103632</v>
      </c>
      <c r="R19">
        <v>1</v>
      </c>
    </row>
    <row r="20" spans="1:25" ht="14.4">
      <c r="A20" s="1" t="s">
        <v>24</v>
      </c>
      <c r="B20" s="2">
        <v>385.97</v>
      </c>
      <c r="C20" s="10">
        <v>6.2100000000000002E-2</v>
      </c>
      <c r="D20" s="2">
        <f t="shared" si="0"/>
        <v>6.21</v>
      </c>
      <c r="E20" s="3">
        <v>178827</v>
      </c>
      <c r="F20" s="15">
        <f t="shared" si="1"/>
        <v>17.8827</v>
      </c>
      <c r="G20" s="2">
        <v>40.6</v>
      </c>
      <c r="H20" s="2">
        <v>71.06</v>
      </c>
      <c r="J20" s="12" t="s">
        <v>53</v>
      </c>
      <c r="K20">
        <v>0.85486411700768317</v>
      </c>
      <c r="L20" s="12">
        <v>-3.8332999721438783E-2</v>
      </c>
      <c r="M20">
        <v>-0.80789769037240666</v>
      </c>
      <c r="N20" s="12">
        <v>0.11050316034916145</v>
      </c>
      <c r="O20" s="12">
        <v>0.462059177376969</v>
      </c>
      <c r="P20">
        <v>0.94724000530767305</v>
      </c>
      <c r="Q20" s="12">
        <v>0.10518212469496835</v>
      </c>
      <c r="R20">
        <v>0.57016092189615164</v>
      </c>
      <c r="S20">
        <v>1</v>
      </c>
    </row>
    <row r="21" spans="1:25" ht="14.4">
      <c r="A21" s="1" t="s">
        <v>25</v>
      </c>
      <c r="B21" s="2">
        <v>481.78</v>
      </c>
      <c r="C21" s="10">
        <v>7.2700000000000001E-2</v>
      </c>
      <c r="D21" s="2">
        <f t="shared" si="0"/>
        <v>7.2700000000000005</v>
      </c>
      <c r="E21" s="3">
        <v>179934</v>
      </c>
      <c r="F21" s="15">
        <f t="shared" si="1"/>
        <v>17.993400000000001</v>
      </c>
      <c r="G21" s="2">
        <v>42.28</v>
      </c>
      <c r="H21" s="2">
        <v>105.41</v>
      </c>
      <c r="J21" s="12" t="s">
        <v>54</v>
      </c>
      <c r="K21">
        <v>0.83703165699142512</v>
      </c>
      <c r="L21" s="12">
        <v>-0.46277740862912597</v>
      </c>
      <c r="M21">
        <v>-0.78226379568428883</v>
      </c>
      <c r="N21" s="12">
        <v>0.2697241604572721</v>
      </c>
      <c r="O21">
        <v>0.75912593152332797</v>
      </c>
      <c r="P21">
        <v>0.65403151118955805</v>
      </c>
      <c r="Q21" s="12">
        <v>-5.2061906555709976E-2</v>
      </c>
      <c r="R21">
        <v>0.70989584877122458</v>
      </c>
      <c r="S21">
        <v>0.5733891566718069</v>
      </c>
      <c r="T21">
        <v>1</v>
      </c>
    </row>
    <row r="22" spans="1:25" ht="14.4">
      <c r="A22" s="1" t="s">
        <v>26</v>
      </c>
      <c r="B22" s="2">
        <v>443.77</v>
      </c>
      <c r="C22" s="10">
        <v>6.5699999999999995E-2</v>
      </c>
      <c r="D22" s="2">
        <f t="shared" si="0"/>
        <v>6.5699999999999994</v>
      </c>
      <c r="E22" s="3">
        <v>178000</v>
      </c>
      <c r="F22" s="15">
        <f t="shared" si="1"/>
        <v>17.8</v>
      </c>
      <c r="G22" s="2">
        <v>37.86</v>
      </c>
      <c r="H22" s="2">
        <v>94.08</v>
      </c>
      <c r="J22" s="12" t="s">
        <v>55</v>
      </c>
      <c r="K22">
        <v>0.92817901180867801</v>
      </c>
      <c r="L22" s="12">
        <v>-0.32870946540144569</v>
      </c>
      <c r="M22">
        <v>-0.93052410169194433</v>
      </c>
      <c r="N22" s="12">
        <v>0.10748693381352299</v>
      </c>
      <c r="O22">
        <v>0.59232740818419327</v>
      </c>
      <c r="P22">
        <v>0.93825787836084695</v>
      </c>
      <c r="Q22" s="12">
        <v>0.12385033352578796</v>
      </c>
      <c r="R22">
        <v>0.71620549367767883</v>
      </c>
      <c r="S22">
        <v>0.88549783315540076</v>
      </c>
      <c r="T22">
        <v>0.80142547269591768</v>
      </c>
      <c r="U22">
        <v>1</v>
      </c>
    </row>
    <row r="23" spans="1:25" ht="14.4">
      <c r="A23" s="1" t="s">
        <v>27</v>
      </c>
      <c r="B23" s="2">
        <v>437.57</v>
      </c>
      <c r="C23" s="10">
        <v>6.2600000000000003E-2</v>
      </c>
      <c r="D23" s="2">
        <f t="shared" si="0"/>
        <v>6.2600000000000007</v>
      </c>
      <c r="E23" s="3">
        <v>172893</v>
      </c>
      <c r="F23" s="15">
        <f t="shared" si="1"/>
        <v>17.289300000000001</v>
      </c>
      <c r="G23" s="2">
        <v>39.840000000000003</v>
      </c>
      <c r="H23" s="2">
        <v>90.74</v>
      </c>
      <c r="J23" s="12" t="s">
        <v>56</v>
      </c>
      <c r="K23">
        <v>0.84024985714814782</v>
      </c>
      <c r="L23" s="12">
        <v>-0.42682399626479184</v>
      </c>
      <c r="M23">
        <v>-0.65891315413178952</v>
      </c>
      <c r="N23" s="12">
        <v>-5.7428092477183036E-2</v>
      </c>
      <c r="O23">
        <v>0.88180423845164535</v>
      </c>
      <c r="P23">
        <v>0.62144935347599628</v>
      </c>
      <c r="Q23">
        <v>-0.53573405371031668</v>
      </c>
      <c r="R23">
        <v>0.87592480577428922</v>
      </c>
      <c r="S23">
        <v>0.65352390120226644</v>
      </c>
      <c r="T23">
        <v>0.59534008368002145</v>
      </c>
      <c r="U23">
        <v>0.59396181592084618</v>
      </c>
      <c r="V23">
        <v>1</v>
      </c>
    </row>
    <row r="24" spans="1:25" ht="14.4">
      <c r="A24" s="1" t="s">
        <v>28</v>
      </c>
      <c r="B24" s="2">
        <v>437.71</v>
      </c>
      <c r="C24" s="10">
        <v>6.0400000000000002E-2</v>
      </c>
      <c r="D24" s="2">
        <f t="shared" si="0"/>
        <v>6.04</v>
      </c>
      <c r="E24" s="3">
        <v>163629</v>
      </c>
      <c r="F24" s="15">
        <f t="shared" si="1"/>
        <v>16.3629</v>
      </c>
      <c r="G24" s="2">
        <v>41.7</v>
      </c>
      <c r="H24" s="2">
        <v>86.91</v>
      </c>
      <c r="J24" s="12" t="s">
        <v>57</v>
      </c>
      <c r="K24">
        <v>0.85269389383307348</v>
      </c>
      <c r="L24">
        <v>-0.53452770665020066</v>
      </c>
      <c r="M24">
        <v>-0.79913783144840522</v>
      </c>
      <c r="N24" s="12">
        <v>0.34398168528342893</v>
      </c>
      <c r="O24">
        <v>0.81172012043227892</v>
      </c>
      <c r="P24">
        <v>0.66088780614466969</v>
      </c>
      <c r="Q24" s="12">
        <v>-0.24253823396682883</v>
      </c>
      <c r="R24">
        <v>0.81141188295553379</v>
      </c>
      <c r="S24">
        <v>0.57398506027570029</v>
      </c>
      <c r="T24">
        <v>0.88737127641361657</v>
      </c>
      <c r="U24">
        <v>0.75408091249245457</v>
      </c>
      <c r="V24">
        <v>0.65918648432042348</v>
      </c>
      <c r="W24">
        <v>1</v>
      </c>
    </row>
    <row r="25" spans="1:25" ht="14.4">
      <c r="A25" s="1" t="s">
        <v>29</v>
      </c>
      <c r="B25" s="2">
        <v>524.09</v>
      </c>
      <c r="C25" s="10">
        <v>6.5100000000000005E-2</v>
      </c>
      <c r="D25" s="2">
        <f t="shared" si="0"/>
        <v>6.5100000000000007</v>
      </c>
      <c r="E25" s="3">
        <v>164756</v>
      </c>
      <c r="F25" s="15">
        <f t="shared" si="1"/>
        <v>16.4756</v>
      </c>
      <c r="G25" s="2">
        <v>42.04</v>
      </c>
      <c r="H25" s="2">
        <v>128.37</v>
      </c>
      <c r="J25" t="s">
        <v>58</v>
      </c>
      <c r="K25">
        <v>-0.56925343842594334</v>
      </c>
      <c r="L25">
        <v>0.84761527348070342</v>
      </c>
      <c r="M25" s="12">
        <v>0.40813428474764729</v>
      </c>
      <c r="N25" s="12">
        <v>8.4606789933165311E-2</v>
      </c>
      <c r="O25">
        <v>-0.81375066777772886</v>
      </c>
      <c r="P25" s="12">
        <v>-0.27803854234805125</v>
      </c>
      <c r="Q25">
        <v>0.76673739144889153</v>
      </c>
      <c r="R25">
        <v>-0.8115860038548961</v>
      </c>
      <c r="S25" s="12">
        <v>-0.17335921649704047</v>
      </c>
      <c r="T25" s="12">
        <v>-0.49654675226238632</v>
      </c>
      <c r="U25" s="12">
        <v>-0.31856364733346931</v>
      </c>
      <c r="V25">
        <v>-0.6965191498839769</v>
      </c>
      <c r="W25">
        <v>-0.68104348268126613</v>
      </c>
      <c r="X25">
        <v>1</v>
      </c>
    </row>
    <row r="26" spans="1:25" ht="15" thickBot="1">
      <c r="A26" s="1" t="s">
        <v>30</v>
      </c>
      <c r="B26" s="2">
        <v>499.72</v>
      </c>
      <c r="C26" s="10">
        <v>5.8700000000000002E-2</v>
      </c>
      <c r="D26" s="2">
        <f t="shared" si="0"/>
        <v>5.87</v>
      </c>
      <c r="E26" s="3">
        <v>169165</v>
      </c>
      <c r="F26" s="15">
        <f t="shared" si="1"/>
        <v>16.916499999999999</v>
      </c>
      <c r="G26" s="2">
        <v>42.13</v>
      </c>
      <c r="H26" s="2">
        <v>114.02</v>
      </c>
      <c r="J26" s="8" t="s">
        <v>59</v>
      </c>
      <c r="K26" s="8">
        <v>0.79128408146274309</v>
      </c>
      <c r="L26" s="8">
        <v>-0.85970568890380583</v>
      </c>
      <c r="M26" s="8">
        <v>-0.67649899051745821</v>
      </c>
      <c r="N26" s="13">
        <v>-0.10265327553843911</v>
      </c>
      <c r="O26" s="8">
        <v>0.88958364394885581</v>
      </c>
      <c r="P26" s="8">
        <v>0.53164669595802261</v>
      </c>
      <c r="Q26" s="13">
        <v>-0.52948251098087495</v>
      </c>
      <c r="R26" s="8">
        <v>0.92915157333616027</v>
      </c>
      <c r="S26" s="13">
        <v>0.41776386589850556</v>
      </c>
      <c r="T26" s="8">
        <v>0.72309822395083923</v>
      </c>
      <c r="U26" s="8">
        <v>0.63565705961724828</v>
      </c>
      <c r="V26" s="8">
        <v>0.746017418236394</v>
      </c>
      <c r="W26" s="8">
        <v>0.80432365945882567</v>
      </c>
      <c r="X26" s="8">
        <v>-0.88868827722479515</v>
      </c>
      <c r="Y26" s="8">
        <v>1</v>
      </c>
    </row>
    <row r="27" spans="1:25" ht="14.4">
      <c r="A27" s="1" t="s">
        <v>31</v>
      </c>
      <c r="B27" s="2">
        <v>484.81</v>
      </c>
      <c r="C27" s="10">
        <v>5.7500000000000002E-2</v>
      </c>
      <c r="D27" s="2">
        <f t="shared" si="0"/>
        <v>5.75</v>
      </c>
      <c r="E27" s="3">
        <v>168750</v>
      </c>
      <c r="F27" s="15">
        <f t="shared" si="1"/>
        <v>16.875</v>
      </c>
      <c r="G27" s="2">
        <v>43.84</v>
      </c>
      <c r="H27" s="2">
        <v>101.67</v>
      </c>
    </row>
    <row r="28" spans="1:25" ht="14.4">
      <c r="A28" s="1" t="s">
        <v>32</v>
      </c>
      <c r="B28" s="2">
        <v>460.21</v>
      </c>
      <c r="C28" s="10">
        <v>5.3999999999999999E-2</v>
      </c>
      <c r="D28" s="2">
        <f t="shared" si="0"/>
        <v>5.4</v>
      </c>
      <c r="E28" s="3">
        <v>160736</v>
      </c>
      <c r="F28" s="15">
        <f t="shared" si="1"/>
        <v>16.073599999999999</v>
      </c>
      <c r="G28" s="2">
        <v>40.14</v>
      </c>
      <c r="H28" s="2">
        <v>94.04</v>
      </c>
    </row>
    <row r="29" spans="1:25" ht="14.4">
      <c r="A29" s="1" t="s">
        <v>33</v>
      </c>
      <c r="B29" s="2">
        <v>540.49</v>
      </c>
      <c r="C29" s="10">
        <v>5.7500000000000002E-2</v>
      </c>
      <c r="D29" s="2">
        <f t="shared" si="0"/>
        <v>5.75</v>
      </c>
      <c r="E29" s="3">
        <v>157126</v>
      </c>
      <c r="F29" s="15">
        <f t="shared" si="1"/>
        <v>15.7126</v>
      </c>
      <c r="G29" s="2">
        <v>39.119999999999997</v>
      </c>
      <c r="H29" s="2">
        <v>138.85</v>
      </c>
    </row>
    <row r="30" spans="1:25" ht="15" thickBot="1">
      <c r="A30" s="1" t="s">
        <v>34</v>
      </c>
      <c r="B30" s="2">
        <v>479.05</v>
      </c>
      <c r="C30" s="10">
        <v>5.33E-2</v>
      </c>
      <c r="D30" s="2">
        <f t="shared" si="0"/>
        <v>5.33</v>
      </c>
      <c r="E30" s="3">
        <v>155380</v>
      </c>
      <c r="F30" s="15">
        <f t="shared" si="1"/>
        <v>15.538</v>
      </c>
      <c r="G30" s="2">
        <v>36.01</v>
      </c>
      <c r="H30" s="2">
        <v>116.95</v>
      </c>
    </row>
    <row r="31" spans="1:25" ht="14.4">
      <c r="A31" s="1" t="s">
        <v>35</v>
      </c>
      <c r="B31" s="2">
        <v>457.1</v>
      </c>
      <c r="C31" s="10">
        <v>5.2200000000000003E-2</v>
      </c>
      <c r="D31" s="2">
        <f t="shared" si="0"/>
        <v>5.2200000000000006</v>
      </c>
      <c r="E31" s="3">
        <v>154229</v>
      </c>
      <c r="F31" s="15">
        <f t="shared" si="1"/>
        <v>15.4229</v>
      </c>
      <c r="G31" s="2">
        <v>31.87</v>
      </c>
      <c r="H31" s="2">
        <v>118.52</v>
      </c>
      <c r="J31" s="9"/>
      <c r="K31" s="9" t="s">
        <v>42</v>
      </c>
      <c r="L31" s="9" t="s">
        <v>43</v>
      </c>
      <c r="M31" s="9" t="s">
        <v>44</v>
      </c>
      <c r="N31" s="9" t="s">
        <v>48</v>
      </c>
      <c r="O31" s="9" t="s">
        <v>49</v>
      </c>
      <c r="P31" s="9" t="s">
        <v>50</v>
      </c>
      <c r="Q31" s="9" t="s">
        <v>51</v>
      </c>
      <c r="R31" s="9" t="s">
        <v>52</v>
      </c>
      <c r="S31" s="9" t="s">
        <v>53</v>
      </c>
      <c r="T31" s="9" t="s">
        <v>54</v>
      </c>
    </row>
    <row r="32" spans="1:25" ht="14.4">
      <c r="A32" s="1" t="s">
        <v>36</v>
      </c>
      <c r="B32" s="2">
        <v>438.05</v>
      </c>
      <c r="C32" s="10">
        <v>5.1799999999999999E-2</v>
      </c>
      <c r="D32" s="2">
        <f t="shared" si="0"/>
        <v>5.18</v>
      </c>
      <c r="E32" s="3">
        <v>165080</v>
      </c>
      <c r="F32" s="15">
        <f t="shared" si="1"/>
        <v>16.507999999999999</v>
      </c>
      <c r="G32" s="2">
        <v>30.54</v>
      </c>
      <c r="H32" s="2">
        <v>108.74</v>
      </c>
      <c r="J32" t="s">
        <v>42</v>
      </c>
      <c r="K32">
        <v>1</v>
      </c>
    </row>
    <row r="33" spans="1:20" ht="14.4">
      <c r="A33" s="1" t="s">
        <v>37</v>
      </c>
      <c r="B33" s="2">
        <v>542.53</v>
      </c>
      <c r="C33" s="10">
        <v>6.0400000000000002E-2</v>
      </c>
      <c r="D33" s="2">
        <f t="shared" si="0"/>
        <v>6.04</v>
      </c>
      <c r="E33" s="3">
        <v>172292</v>
      </c>
      <c r="F33" s="15">
        <f t="shared" si="1"/>
        <v>17.229199999999999</v>
      </c>
      <c r="G33" s="2">
        <v>30.01</v>
      </c>
      <c r="H33" s="2">
        <v>161.6</v>
      </c>
      <c r="J33" t="s">
        <v>43</v>
      </c>
      <c r="K33">
        <v>-0.44768606970527064</v>
      </c>
      <c r="L33">
        <v>1</v>
      </c>
    </row>
    <row r="34" spans="1:20" ht="14.4">
      <c r="A34" s="1" t="s">
        <v>38</v>
      </c>
      <c r="B34" s="2">
        <v>488.83</v>
      </c>
      <c r="C34" s="10">
        <v>5.5500000000000001E-2</v>
      </c>
      <c r="D34" s="2">
        <f t="shared" si="0"/>
        <v>5.55</v>
      </c>
      <c r="E34" s="3">
        <v>174880</v>
      </c>
      <c r="F34" s="15">
        <f t="shared" si="1"/>
        <v>17.488</v>
      </c>
      <c r="G34" s="2">
        <v>28.48</v>
      </c>
      <c r="H34" s="2">
        <v>140.16999999999999</v>
      </c>
      <c r="J34" t="s">
        <v>44</v>
      </c>
      <c r="K34">
        <v>9.0816361361612891E-2</v>
      </c>
      <c r="L34">
        <v>0.28485773047416213</v>
      </c>
      <c r="M34">
        <v>1</v>
      </c>
    </row>
    <row r="35" spans="1:20" ht="14.4">
      <c r="A35" s="1" t="s">
        <v>39</v>
      </c>
      <c r="B35" s="2">
        <v>490.96</v>
      </c>
      <c r="C35" s="10">
        <v>5.5E-2</v>
      </c>
      <c r="D35" s="2">
        <f t="shared" si="0"/>
        <v>5.5</v>
      </c>
      <c r="E35" s="3">
        <v>176246</v>
      </c>
      <c r="F35" s="15">
        <f t="shared" si="1"/>
        <v>17.624600000000001</v>
      </c>
      <c r="G35" s="2">
        <v>26.81</v>
      </c>
      <c r="H35" s="2">
        <v>134.83000000000001</v>
      </c>
      <c r="J35" t="s">
        <v>48</v>
      </c>
      <c r="K35">
        <v>0.88738957088683523</v>
      </c>
      <c r="L35">
        <v>-0.21027146049177489</v>
      </c>
      <c r="M35">
        <v>5.7647971414517656E-2</v>
      </c>
      <c r="N35">
        <v>1</v>
      </c>
    </row>
    <row r="36" spans="1:20" ht="14.4">
      <c r="A36" s="1" t="s">
        <v>40</v>
      </c>
      <c r="B36" s="2">
        <v>478.37</v>
      </c>
      <c r="C36" s="10">
        <v>5.1700000000000003E-2</v>
      </c>
      <c r="D36" s="2">
        <f t="shared" si="0"/>
        <v>5.17</v>
      </c>
      <c r="E36" s="3">
        <v>177753</v>
      </c>
      <c r="F36" s="15">
        <f t="shared" si="1"/>
        <v>17.775300000000001</v>
      </c>
      <c r="G36" s="2">
        <v>22.94</v>
      </c>
      <c r="H36" s="2">
        <v>128.51</v>
      </c>
      <c r="J36" t="s">
        <v>49</v>
      </c>
      <c r="K36">
        <v>-0.18118132428467917</v>
      </c>
      <c r="L36">
        <v>0.55295431959755059</v>
      </c>
      <c r="M36">
        <v>0.29435904077688679</v>
      </c>
      <c r="N36">
        <v>5.7506664555854091E-2</v>
      </c>
      <c r="O36">
        <v>1</v>
      </c>
    </row>
    <row r="37" spans="1:20" ht="14.4">
      <c r="A37" s="1" t="s">
        <v>41</v>
      </c>
      <c r="B37" s="2">
        <v>641.35</v>
      </c>
      <c r="C37" s="10">
        <v>6.0600000000000001E-2</v>
      </c>
      <c r="D37" s="2">
        <f t="shared" si="0"/>
        <v>6.0600000000000005</v>
      </c>
      <c r="E37" s="3">
        <v>183987</v>
      </c>
      <c r="F37" s="15">
        <f t="shared" si="1"/>
        <v>18.398700000000002</v>
      </c>
      <c r="G37" s="2">
        <v>30.76</v>
      </c>
      <c r="H37" s="2">
        <v>204.36</v>
      </c>
      <c r="J37" t="s">
        <v>50</v>
      </c>
      <c r="K37">
        <v>0.85486411700768317</v>
      </c>
      <c r="L37">
        <v>-3.8332999721438783E-2</v>
      </c>
      <c r="M37">
        <v>0.11050316034916145</v>
      </c>
      <c r="N37">
        <v>0.94724000530767305</v>
      </c>
      <c r="O37">
        <v>0.10518212469496835</v>
      </c>
      <c r="P37">
        <v>1</v>
      </c>
    </row>
    <row r="38" spans="1:20">
      <c r="J38" t="s">
        <v>51</v>
      </c>
      <c r="K38">
        <v>0.83703165699142512</v>
      </c>
      <c r="L38">
        <v>-0.46277740862912597</v>
      </c>
      <c r="M38">
        <v>0.2697241604572721</v>
      </c>
      <c r="N38">
        <v>0.65403151118955805</v>
      </c>
      <c r="O38">
        <v>-5.2061906555709976E-2</v>
      </c>
      <c r="P38">
        <v>0.5733891566718069</v>
      </c>
      <c r="Q38">
        <v>1</v>
      </c>
    </row>
    <row r="39" spans="1:20">
      <c r="J39" t="s">
        <v>52</v>
      </c>
      <c r="K39">
        <v>0.92817901180867801</v>
      </c>
      <c r="L39">
        <v>-0.32870946540144569</v>
      </c>
      <c r="M39">
        <v>0.10748693381352299</v>
      </c>
      <c r="N39">
        <v>0.93825787836084695</v>
      </c>
      <c r="O39">
        <v>0.12385033352578796</v>
      </c>
      <c r="P39">
        <v>0.88549783315540076</v>
      </c>
      <c r="Q39">
        <v>0.80142547269591768</v>
      </c>
      <c r="R39">
        <v>1</v>
      </c>
    </row>
    <row r="40" spans="1:20">
      <c r="J40" t="s">
        <v>53</v>
      </c>
      <c r="K40">
        <v>0.84024985714814782</v>
      </c>
      <c r="L40">
        <v>-0.42682399626479184</v>
      </c>
      <c r="M40">
        <v>-5.7428092477183036E-2</v>
      </c>
      <c r="N40">
        <v>0.62144935347599628</v>
      </c>
      <c r="O40">
        <v>-0.53573405371031668</v>
      </c>
      <c r="P40">
        <v>0.65352390120226644</v>
      </c>
      <c r="Q40">
        <v>0.59534008368002145</v>
      </c>
      <c r="R40">
        <v>0.59396181592084618</v>
      </c>
      <c r="S40">
        <v>1</v>
      </c>
    </row>
    <row r="41" spans="1:20" ht="14.4" thickBot="1">
      <c r="J41" s="8" t="s">
        <v>54</v>
      </c>
      <c r="K41" s="8">
        <v>0.85269389383307348</v>
      </c>
      <c r="L41" s="8">
        <v>-0.53452770665020066</v>
      </c>
      <c r="M41" s="8">
        <v>0.34398168528342893</v>
      </c>
      <c r="N41" s="8">
        <v>0.66088780614466969</v>
      </c>
      <c r="O41" s="8">
        <v>-0.24253823396682883</v>
      </c>
      <c r="P41" s="8">
        <v>0.57398506027570029</v>
      </c>
      <c r="Q41" s="8">
        <v>0.88737127641361657</v>
      </c>
      <c r="R41" s="8">
        <v>0.75408091249245457</v>
      </c>
      <c r="S41" s="8">
        <v>0.65918648432042348</v>
      </c>
      <c r="T41" s="8">
        <v>1</v>
      </c>
    </row>
    <row r="43" spans="1:20" ht="14.4" thickBot="1"/>
    <row r="44" spans="1:20" ht="14.4">
      <c r="J44" s="9"/>
      <c r="K44" s="9" t="s">
        <v>42</v>
      </c>
      <c r="L44" s="9" t="s">
        <v>43</v>
      </c>
      <c r="M44" s="9" t="s">
        <v>44</v>
      </c>
      <c r="N44" s="9" t="s">
        <v>48</v>
      </c>
      <c r="O44" s="9" t="s">
        <v>49</v>
      </c>
      <c r="P44" s="9" t="s">
        <v>50</v>
      </c>
      <c r="Q44" s="9" t="s">
        <v>51</v>
      </c>
    </row>
    <row r="45" spans="1:20">
      <c r="J45" t="s">
        <v>42</v>
      </c>
      <c r="K45">
        <v>1</v>
      </c>
    </row>
    <row r="46" spans="1:20">
      <c r="J46" t="s">
        <v>43</v>
      </c>
      <c r="K46">
        <v>-0.44768606970527064</v>
      </c>
      <c r="L46">
        <v>1</v>
      </c>
    </row>
    <row r="47" spans="1:20">
      <c r="J47" t="s">
        <v>44</v>
      </c>
      <c r="K47">
        <v>9.0816361361612891E-2</v>
      </c>
      <c r="L47">
        <v>0.28485773047416213</v>
      </c>
      <c r="M47">
        <v>1</v>
      </c>
    </row>
    <row r="48" spans="1:20">
      <c r="J48" t="s">
        <v>48</v>
      </c>
      <c r="K48">
        <v>-0.18118132428467917</v>
      </c>
      <c r="L48">
        <v>0.55295431959755059</v>
      </c>
      <c r="M48">
        <v>0.29435904077688679</v>
      </c>
      <c r="N48">
        <v>1</v>
      </c>
    </row>
    <row r="49" spans="10:17">
      <c r="J49" t="s">
        <v>49</v>
      </c>
      <c r="K49">
        <v>0.92817901180867801</v>
      </c>
      <c r="L49">
        <v>-0.32870946540144569</v>
      </c>
      <c r="M49">
        <v>0.10748693381352299</v>
      </c>
      <c r="N49">
        <v>0.12385033352578796</v>
      </c>
      <c r="O49">
        <v>1</v>
      </c>
    </row>
    <row r="50" spans="10:17">
      <c r="J50" t="s">
        <v>50</v>
      </c>
      <c r="K50">
        <v>0.84024985714814782</v>
      </c>
      <c r="L50">
        <v>-0.42682399626479184</v>
      </c>
      <c r="M50">
        <v>-5.7428092477183036E-2</v>
      </c>
      <c r="N50">
        <v>-0.53573405371031668</v>
      </c>
      <c r="O50">
        <v>0.59396181592084618</v>
      </c>
      <c r="P50">
        <v>1</v>
      </c>
    </row>
    <row r="51" spans="10:17" ht="14.4" thickBot="1">
      <c r="J51" s="8" t="s">
        <v>51</v>
      </c>
      <c r="K51" s="8">
        <v>0.85269389383307348</v>
      </c>
      <c r="L51" s="8">
        <v>-0.53452770665020066</v>
      </c>
      <c r="M51" s="8">
        <v>0.34398168528342893</v>
      </c>
      <c r="N51" s="8">
        <v>-0.24253823396682883</v>
      </c>
      <c r="O51" s="8">
        <v>0.75408091249245457</v>
      </c>
      <c r="P51" s="8">
        <v>0.65918648432042348</v>
      </c>
      <c r="Q51" s="8">
        <v>1</v>
      </c>
    </row>
    <row r="53" spans="10:17" ht="14.4" thickBot="1"/>
    <row r="54" spans="10:17" ht="14.4">
      <c r="J54" s="9"/>
      <c r="K54" s="9" t="s">
        <v>42</v>
      </c>
      <c r="L54" s="9" t="s">
        <v>43</v>
      </c>
      <c r="M54" s="9" t="s">
        <v>44</v>
      </c>
      <c r="N54" s="9" t="s">
        <v>48</v>
      </c>
      <c r="O54" s="9" t="s">
        <v>49</v>
      </c>
    </row>
    <row r="55" spans="10:17">
      <c r="J55" t="s">
        <v>42</v>
      </c>
      <c r="K55">
        <v>1</v>
      </c>
    </row>
    <row r="56" spans="10:17">
      <c r="J56" t="s">
        <v>43</v>
      </c>
      <c r="K56">
        <v>-0.44768606970527064</v>
      </c>
      <c r="L56">
        <v>1</v>
      </c>
    </row>
    <row r="57" spans="10:17">
      <c r="J57" t="s">
        <v>44</v>
      </c>
      <c r="K57">
        <v>9.0816361361612891E-2</v>
      </c>
      <c r="L57">
        <v>0.28485773047416213</v>
      </c>
      <c r="M57">
        <v>1</v>
      </c>
    </row>
    <row r="58" spans="10:17">
      <c r="J58" t="s">
        <v>48</v>
      </c>
      <c r="K58">
        <v>-0.18118132428467917</v>
      </c>
      <c r="L58">
        <v>0.55295431959755059</v>
      </c>
      <c r="M58">
        <v>0.29435904077688679</v>
      </c>
      <c r="N58">
        <v>1</v>
      </c>
    </row>
    <row r="59" spans="10:17" ht="14.4" thickBot="1">
      <c r="J59" s="8" t="s">
        <v>49</v>
      </c>
      <c r="K59" s="8">
        <v>0.84024985714814782</v>
      </c>
      <c r="L59" s="8">
        <v>-0.42682399626479184</v>
      </c>
      <c r="M59" s="8">
        <v>-5.7428092477183036E-2</v>
      </c>
      <c r="N59" s="8">
        <v>-0.53573405371031668</v>
      </c>
      <c r="O59" s="8">
        <v>1</v>
      </c>
    </row>
  </sheetData>
  <conditionalFormatting sqref="K55:O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5:Q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2:T4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:Y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MUHAMMAD JAWED - 25190</dc:creator>
  <cp:lastModifiedBy>hp</cp:lastModifiedBy>
  <dcterms:created xsi:type="dcterms:W3CDTF">2025-05-03T08:54:28Z</dcterms:created>
  <dcterms:modified xsi:type="dcterms:W3CDTF">2025-06-12T13:52:54Z</dcterms:modified>
</cp:coreProperties>
</file>